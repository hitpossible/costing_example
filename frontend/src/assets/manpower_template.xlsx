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s_dev01/Downloads/"/>
    </mc:Choice>
  </mc:AlternateContent>
  <xr:revisionPtr revIDLastSave="0" documentId="13_ncr:1_{A160CB22-D928-0749-B584-8B76E559DE35}" xr6:coauthVersionLast="47" xr6:coauthVersionMax="47" xr10:uidLastSave="{00000000-0000-0000-0000-000000000000}"/>
  <bookViews>
    <workbookView xWindow="-37540" yWindow="2160" windowWidth="27640" windowHeight="16940" xr2:uid="{DB3218ED-F0BD-2945-972E-9F984810E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6" i="1"/>
  <c r="S5" i="1"/>
  <c r="S2" i="1"/>
</calcChain>
</file>

<file path=xl/sharedStrings.xml><?xml version="1.0" encoding="utf-8"?>
<sst xmlns="http://schemas.openxmlformats.org/spreadsheetml/2006/main" count="177" uniqueCount="81">
  <si>
    <t>PersonCode</t>
  </si>
  <si>
    <t>InitialT</t>
  </si>
  <si>
    <t>FnameT</t>
  </si>
  <si>
    <t>LnameT</t>
  </si>
  <si>
    <t>InitialE</t>
  </si>
  <si>
    <t>FnameE</t>
  </si>
  <si>
    <t>LnameE</t>
  </si>
  <si>
    <t>StartDate</t>
  </si>
  <si>
    <t>PositionNameE</t>
  </si>
  <si>
    <t>Branch</t>
  </si>
  <si>
    <t>DivisionCode</t>
  </si>
  <si>
    <t>DivisionName</t>
  </si>
  <si>
    <t>DepartmentCode</t>
  </si>
  <si>
    <t>DepartmentName</t>
  </si>
  <si>
    <t>SectionCode</t>
  </si>
  <si>
    <t>SectionName</t>
  </si>
  <si>
    <t>Cmb4NameE</t>
  </si>
  <si>
    <t>CostCenterNameE</t>
  </si>
  <si>
    <t>Type</t>
  </si>
  <si>
    <t>นาย</t>
  </si>
  <si>
    <t>MR.</t>
  </si>
  <si>
    <t>SUBCONTRACT</t>
  </si>
  <si>
    <t>P10</t>
  </si>
  <si>
    <t>K1SC00</t>
  </si>
  <si>
    <t>SUPPLY CHAIN MANAGEMENT</t>
  </si>
  <si>
    <t>K1LG00</t>
  </si>
  <si>
    <t>SCM</t>
  </si>
  <si>
    <t>INDIRECT</t>
  </si>
  <si>
    <t>PUMP</t>
  </si>
  <si>
    <t>นางสาว</t>
  </si>
  <si>
    <t>MS.</t>
  </si>
  <si>
    <t>P08</t>
  </si>
  <si>
    <t>K2MA03</t>
  </si>
  <si>
    <t>MANUFACTURING  3</t>
  </si>
  <si>
    <t>K2PD06</t>
  </si>
  <si>
    <t>PRODUCTION 6</t>
  </si>
  <si>
    <t>PD6</t>
  </si>
  <si>
    <t>DIRECT</t>
  </si>
  <si>
    <t>BH</t>
  </si>
  <si>
    <t>K1MA01</t>
  </si>
  <si>
    <t>MANUFACTURING 1</t>
  </si>
  <si>
    <t>K1PD05</t>
  </si>
  <si>
    <t>PRODUCTION 5</t>
  </si>
  <si>
    <t>K1G000</t>
  </si>
  <si>
    <t>PD5</t>
  </si>
  <si>
    <t>K1MA02</t>
  </si>
  <si>
    <t>MANUFACTURING  2</t>
  </si>
  <si>
    <t>K1PD03</t>
  </si>
  <si>
    <t>PRODUCTION 3</t>
  </si>
  <si>
    <t>K1MC00</t>
  </si>
  <si>
    <t>PD3</t>
  </si>
  <si>
    <t>K1QI00</t>
  </si>
  <si>
    <t>QUALITY IMPROVEMENT</t>
  </si>
  <si>
    <t>K1QC00</t>
  </si>
  <si>
    <t>QUALITY CONTROL</t>
  </si>
  <si>
    <t>QC</t>
  </si>
  <si>
    <t>K1PD01</t>
  </si>
  <si>
    <t>PRODUCTION 1</t>
  </si>
  <si>
    <t>K1A000</t>
  </si>
  <si>
    <t>PD1</t>
  </si>
  <si>
    <t>GROUP LEADER</t>
  </si>
  <si>
    <t>SKILL WORKER</t>
  </si>
  <si>
    <t>UNIT CHIEF</t>
  </si>
  <si>
    <t>SENIOR OFFICER</t>
  </si>
  <si>
    <t>K1BM00</t>
  </si>
  <si>
    <t>BUSINESS MANAGEMENT</t>
  </si>
  <si>
    <t>K1CM00</t>
  </si>
  <si>
    <t>CM</t>
  </si>
  <si>
    <t>ADMIN</t>
  </si>
  <si>
    <t>00004</t>
  </si>
  <si>
    <t>SUB</t>
  </si>
  <si>
    <t>STU</t>
  </si>
  <si>
    <t>xxx</t>
  </si>
  <si>
    <t>00001</t>
  </si>
  <si>
    <t>00002</t>
  </si>
  <si>
    <t>00003</t>
  </si>
  <si>
    <t>00005</t>
  </si>
  <si>
    <t>00006</t>
  </si>
  <si>
    <t>00007</t>
  </si>
  <si>
    <t>00008</t>
  </si>
  <si>
    <t>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</si>
</sst>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49" fontId="1" fillId="0" borderId="0" xfId="0" quotePrefix="1" applyNumberFormat="1" applyFont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823B-BCA0-AA4E-B613-19F7570CD30A}">
  <dimension ref="A1:S10"/>
  <sheetViews>
    <sheetView tabSelected="1" workbookViewId="0">
      <selection activeCell="D17" sqref="D17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73</v>
      </c>
      <c r="B2" s="2" t="s">
        <v>19</v>
      </c>
      <c r="C2" s="2" t="s">
        <v>72</v>
      </c>
      <c r="D2" s="2" t="s">
        <v>72</v>
      </c>
      <c r="E2" s="2" t="s">
        <v>20</v>
      </c>
      <c r="F2" s="2" t="s">
        <v>72</v>
      </c>
      <c r="G2" s="2" t="s">
        <v>72</v>
      </c>
      <c r="H2" s="1">
        <v>41492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tr">
        <f>IF(I2="SUBCONTRACT","SUB",IF(I2="STUDENT","STU","PERM"))</f>
        <v>SUB</v>
      </c>
    </row>
    <row r="3" spans="1:19" x14ac:dyDescent="0.2">
      <c r="A3" s="3" t="s">
        <v>74</v>
      </c>
      <c r="B3" s="2" t="s">
        <v>29</v>
      </c>
      <c r="C3" s="2" t="s">
        <v>72</v>
      </c>
      <c r="D3" s="2" t="s">
        <v>72</v>
      </c>
      <c r="E3" s="2" t="s">
        <v>30</v>
      </c>
      <c r="F3" s="2" t="s">
        <v>72</v>
      </c>
      <c r="G3" s="2" t="s">
        <v>72</v>
      </c>
      <c r="H3" s="1">
        <v>44044</v>
      </c>
      <c r="I3" s="2" t="s">
        <v>21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34</v>
      </c>
      <c r="P3" s="2" t="s">
        <v>36</v>
      </c>
      <c r="Q3" s="2" t="s">
        <v>37</v>
      </c>
      <c r="R3" s="2" t="s">
        <v>38</v>
      </c>
      <c r="S3" s="2" t="s">
        <v>70</v>
      </c>
    </row>
    <row r="4" spans="1:19" x14ac:dyDescent="0.2">
      <c r="A4" s="3" t="s">
        <v>75</v>
      </c>
      <c r="B4" s="2" t="s">
        <v>19</v>
      </c>
      <c r="C4" s="2" t="s">
        <v>72</v>
      </c>
      <c r="D4" s="2" t="s">
        <v>72</v>
      </c>
      <c r="E4" s="2" t="s">
        <v>20</v>
      </c>
      <c r="F4" s="2" t="s">
        <v>72</v>
      </c>
      <c r="G4" s="2" t="s">
        <v>72</v>
      </c>
      <c r="H4" s="1">
        <v>37392</v>
      </c>
      <c r="I4" s="2" t="s">
        <v>60</v>
      </c>
      <c r="J4" s="2" t="s">
        <v>22</v>
      </c>
      <c r="K4" s="2" t="s">
        <v>39</v>
      </c>
      <c r="L4" s="2" t="s">
        <v>40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68</v>
      </c>
      <c r="R4" s="2" t="s">
        <v>28</v>
      </c>
      <c r="S4" s="2" t="s">
        <v>70</v>
      </c>
    </row>
    <row r="5" spans="1:19" x14ac:dyDescent="0.2">
      <c r="A5" s="3" t="s">
        <v>69</v>
      </c>
      <c r="B5" s="2" t="s">
        <v>19</v>
      </c>
      <c r="C5" s="2" t="s">
        <v>72</v>
      </c>
      <c r="D5" s="2" t="s">
        <v>72</v>
      </c>
      <c r="E5" s="2" t="s">
        <v>20</v>
      </c>
      <c r="F5" s="2" t="s">
        <v>72</v>
      </c>
      <c r="G5" s="2" t="s">
        <v>72</v>
      </c>
      <c r="H5" s="1">
        <v>37408</v>
      </c>
      <c r="I5" s="2" t="s">
        <v>62</v>
      </c>
      <c r="J5" s="2" t="s">
        <v>22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27</v>
      </c>
      <c r="R5" s="2" t="s">
        <v>28</v>
      </c>
      <c r="S5" s="2" t="str">
        <f t="shared" ref="S5:S7" si="0">IF(I5="SUBCONTRACT","SUB",IF(I5="STUDENT","STU","PERM"))</f>
        <v>PERM</v>
      </c>
    </row>
    <row r="6" spans="1:19" x14ac:dyDescent="0.2">
      <c r="A6" s="3" t="s">
        <v>76</v>
      </c>
      <c r="B6" s="2" t="s">
        <v>29</v>
      </c>
      <c r="C6" s="2" t="s">
        <v>72</v>
      </c>
      <c r="D6" s="2" t="s">
        <v>72</v>
      </c>
      <c r="E6" s="2" t="s">
        <v>30</v>
      </c>
      <c r="F6" s="2" t="s">
        <v>72</v>
      </c>
      <c r="G6" s="2" t="s">
        <v>72</v>
      </c>
      <c r="H6" s="1">
        <v>37669</v>
      </c>
      <c r="I6" s="2" t="s">
        <v>63</v>
      </c>
      <c r="J6" s="2" t="s">
        <v>22</v>
      </c>
      <c r="K6" s="2" t="s">
        <v>64</v>
      </c>
      <c r="L6" s="2" t="s">
        <v>65</v>
      </c>
      <c r="M6" s="2" t="s">
        <v>64</v>
      </c>
      <c r="N6" s="2" t="s">
        <v>65</v>
      </c>
      <c r="O6" s="2" t="s">
        <v>66</v>
      </c>
      <c r="P6" s="2" t="s">
        <v>67</v>
      </c>
      <c r="Q6" s="2" t="s">
        <v>37</v>
      </c>
      <c r="R6" s="2" t="s">
        <v>28</v>
      </c>
      <c r="S6" s="2" t="str">
        <f t="shared" si="0"/>
        <v>PERM</v>
      </c>
    </row>
    <row r="7" spans="1:19" x14ac:dyDescent="0.2">
      <c r="A7" s="3" t="s">
        <v>77</v>
      </c>
      <c r="B7" s="2" t="s">
        <v>29</v>
      </c>
      <c r="C7" s="2" t="s">
        <v>72</v>
      </c>
      <c r="D7" s="2" t="s">
        <v>72</v>
      </c>
      <c r="E7" s="2" t="s">
        <v>30</v>
      </c>
      <c r="F7" s="2" t="s">
        <v>72</v>
      </c>
      <c r="G7" s="2" t="s">
        <v>72</v>
      </c>
      <c r="H7" s="1">
        <v>37753</v>
      </c>
      <c r="I7" s="2" t="s">
        <v>62</v>
      </c>
      <c r="J7" s="2" t="s">
        <v>31</v>
      </c>
      <c r="K7" s="2" t="s">
        <v>32</v>
      </c>
      <c r="L7" s="2" t="s">
        <v>33</v>
      </c>
      <c r="M7" s="2" t="s">
        <v>34</v>
      </c>
      <c r="N7" s="2" t="s">
        <v>35</v>
      </c>
      <c r="O7" s="2" t="s">
        <v>34</v>
      </c>
      <c r="P7" s="2" t="s">
        <v>36</v>
      </c>
      <c r="Q7" s="2" t="s">
        <v>68</v>
      </c>
      <c r="R7" s="2" t="s">
        <v>38</v>
      </c>
      <c r="S7" s="2" t="str">
        <f t="shared" si="0"/>
        <v>PERM</v>
      </c>
    </row>
    <row r="8" spans="1:19" x14ac:dyDescent="0.2">
      <c r="A8" s="3" t="s">
        <v>78</v>
      </c>
      <c r="B8" s="2" t="s">
        <v>19</v>
      </c>
      <c r="C8" s="2" t="s">
        <v>72</v>
      </c>
      <c r="D8" s="2" t="s">
        <v>72</v>
      </c>
      <c r="E8" s="2" t="s">
        <v>20</v>
      </c>
      <c r="F8" s="2" t="s">
        <v>72</v>
      </c>
      <c r="G8" s="2" t="s">
        <v>72</v>
      </c>
      <c r="H8" s="1">
        <v>37753</v>
      </c>
      <c r="I8" s="2" t="s">
        <v>61</v>
      </c>
      <c r="J8" s="2" t="s">
        <v>22</v>
      </c>
      <c r="K8" s="2" t="s">
        <v>45</v>
      </c>
      <c r="L8" s="2" t="s">
        <v>46</v>
      </c>
      <c r="M8" s="2" t="s">
        <v>47</v>
      </c>
      <c r="N8" s="2" t="s">
        <v>48</v>
      </c>
      <c r="O8" s="2" t="s">
        <v>49</v>
      </c>
      <c r="P8" s="2" t="s">
        <v>50</v>
      </c>
      <c r="Q8" s="2" t="s">
        <v>27</v>
      </c>
      <c r="R8" s="2" t="s">
        <v>28</v>
      </c>
      <c r="S8" s="2" t="s">
        <v>71</v>
      </c>
    </row>
    <row r="9" spans="1:19" x14ac:dyDescent="0.2">
      <c r="A9" s="3" t="s">
        <v>79</v>
      </c>
      <c r="B9" s="2" t="s">
        <v>19</v>
      </c>
      <c r="C9" s="2" t="s">
        <v>72</v>
      </c>
      <c r="D9" s="2" t="s">
        <v>72</v>
      </c>
      <c r="E9" s="2" t="s">
        <v>20</v>
      </c>
      <c r="F9" s="2" t="s">
        <v>72</v>
      </c>
      <c r="G9" s="2" t="s">
        <v>72</v>
      </c>
      <c r="H9" s="1">
        <v>37757</v>
      </c>
      <c r="I9" s="2" t="s">
        <v>60</v>
      </c>
      <c r="J9" s="2" t="s">
        <v>22</v>
      </c>
      <c r="K9" s="2" t="s">
        <v>23</v>
      </c>
      <c r="L9" s="2" t="s">
        <v>24</v>
      </c>
      <c r="M9" s="2" t="s">
        <v>23</v>
      </c>
      <c r="N9" s="2" t="s">
        <v>24</v>
      </c>
      <c r="O9" s="2" t="s">
        <v>25</v>
      </c>
      <c r="P9" s="2" t="s">
        <v>26</v>
      </c>
      <c r="Q9" s="2" t="s">
        <v>37</v>
      </c>
      <c r="R9" s="2" t="s">
        <v>28</v>
      </c>
      <c r="S9" s="2" t="s">
        <v>71</v>
      </c>
    </row>
    <row r="10" spans="1:19" x14ac:dyDescent="0.2">
      <c r="A10" s="3" t="s">
        <v>80</v>
      </c>
      <c r="B10" s="2" t="s">
        <v>29</v>
      </c>
      <c r="C10" s="2" t="s">
        <v>72</v>
      </c>
      <c r="D10" s="2" t="s">
        <v>72</v>
      </c>
      <c r="E10" s="2" t="s">
        <v>30</v>
      </c>
      <c r="F10" s="2" t="s">
        <v>72</v>
      </c>
      <c r="G10" s="2" t="s">
        <v>72</v>
      </c>
      <c r="H10" s="1">
        <v>37782</v>
      </c>
      <c r="I10" s="2" t="s">
        <v>61</v>
      </c>
      <c r="J10" s="2" t="s">
        <v>22</v>
      </c>
      <c r="K10" s="2" t="s">
        <v>51</v>
      </c>
      <c r="L10" s="2" t="s">
        <v>52</v>
      </c>
      <c r="M10" s="2" t="s">
        <v>53</v>
      </c>
      <c r="N10" s="2" t="s">
        <v>54</v>
      </c>
      <c r="O10" s="2" t="s">
        <v>53</v>
      </c>
      <c r="P10" s="2" t="s">
        <v>55</v>
      </c>
      <c r="Q10" s="2" t="s">
        <v>68</v>
      </c>
      <c r="R10" s="2" t="s">
        <v>28</v>
      </c>
      <c r="S10" s="2" t="s">
        <v>71</v>
      </c>
    </row>
  </sheetData>
  <phoneticPr fontId="2" type="noConversion"/>
  <conditionalFormatting sqref="A1:A10">
    <cfRule type="aboveAverage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Chanachai Tohmudbamrung</dc:creator>
  <cp:lastModifiedBy>Chanachai Tohmudbamrung</cp:lastModifiedBy>
  <dcterms:created xsi:type="dcterms:W3CDTF">2025-11-05T01:26:18Z</dcterms:created>
  <dcterms:modified xsi:type="dcterms:W3CDTF">2025-11-05T01:43:25Z</dcterms:modified>
</cp:coreProperties>
</file>